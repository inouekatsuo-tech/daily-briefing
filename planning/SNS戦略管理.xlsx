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フォロワー推移" sheetId="1" state="visible" r:id="rId1"/>
    <sheet xmlns:r="http://schemas.openxmlformats.org/officeDocument/2006/relationships" name="📅 投稿カレンダー" sheetId="2" state="visible" r:id="rId2"/>
    <sheet xmlns:r="http://schemas.openxmlformats.org/officeDocument/2006/relationships" name="💡 ネタストック" sheetId="3" state="visible" r:id="rId3"/>
    <sheet xmlns:r="http://schemas.openxmlformats.org/officeDocument/2006/relationships" name="📈 投稿パフォーマンス" sheetId="4" state="visible" r:id="rId4"/>
    <sheet xmlns:r="http://schemas.openxmlformats.org/officeDocument/2006/relationships" name="🎯 月次目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m/dd"/>
    <numFmt numFmtId="166" formatCode="+0;-0;0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375623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0" borderId="0" pivotButton="0" quotePrefix="0" xfId="0"/>
    <xf numFmtId="167" fontId="2" fillId="0" borderId="0" pivotButton="0" quotePrefix="0" xfId="0"/>
    <xf numFmtId="0" fontId="1" fillId="6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22" customWidth="1" min="4" max="4"/>
    <col width="18" customWidth="1" min="5" max="5"/>
    <col width="20" customWidth="1" min="6" max="6"/>
    <col width="18" customWidth="1" min="7" max="7"/>
    <col width="18" customWidth="1" min="8" max="8"/>
    <col width="15" customWidth="1" min="9" max="9"/>
    <col width="18" customWidth="1" min="10" max="10"/>
    <col width="15" customWidth="1" min="11" max="11"/>
  </cols>
  <sheetData>
    <row r="1">
      <c r="A1" s="1" t="inlineStr">
        <is>
          <t>日付（週次）</t>
        </is>
      </c>
      <c r="B1" s="1" t="inlineStr">
        <is>
          <t>X フォロワー数</t>
        </is>
      </c>
      <c r="C1" s="1" t="inlineStr">
        <is>
          <t>X 前週比</t>
        </is>
      </c>
      <c r="D1" s="1" t="inlineStr">
        <is>
          <t>Instagram フォロワー数</t>
        </is>
      </c>
      <c r="E1" s="1" t="inlineStr">
        <is>
          <t>Instagram 前週比</t>
        </is>
      </c>
      <c r="F1" s="1" t="inlineStr">
        <is>
          <t>Threads フォロワー数</t>
        </is>
      </c>
      <c r="G1" s="1" t="inlineStr">
        <is>
          <t>Threads 前週比</t>
        </is>
      </c>
      <c r="H1" s="1" t="inlineStr">
        <is>
          <t>note フォロワー数</t>
        </is>
      </c>
      <c r="I1" s="1" t="inlineStr">
        <is>
          <t>note 前週比</t>
        </is>
      </c>
      <c r="J1" s="1" t="inlineStr">
        <is>
          <t>合計フォロワー数</t>
        </is>
      </c>
      <c r="K1" s="1" t="inlineStr">
        <is>
          <t>合計前週比</t>
        </is>
      </c>
    </row>
    <row r="2">
      <c r="A2" s="2" t="n">
        <v>46106</v>
      </c>
      <c r="B2" s="3" t="n">
        <v>150</v>
      </c>
      <c r="C2" s="3" t="inlineStr">
        <is>
          <t>-</t>
        </is>
      </c>
      <c r="D2" s="3" t="n">
        <v>320</v>
      </c>
      <c r="E2" s="3" t="inlineStr">
        <is>
          <t>-</t>
        </is>
      </c>
      <c r="F2" s="3" t="n">
        <v>80</v>
      </c>
      <c r="G2" s="3" t="inlineStr">
        <is>
          <t>-</t>
        </is>
      </c>
      <c r="H2" s="3" t="n">
        <v>1494</v>
      </c>
      <c r="I2" s="3" t="inlineStr">
        <is>
          <t>-</t>
        </is>
      </c>
      <c r="J2" s="3">
        <f>B2+D2+F2+H2</f>
        <v/>
      </c>
      <c r="K2" s="3" t="inlineStr">
        <is>
          <t>-</t>
        </is>
      </c>
    </row>
    <row r="3">
      <c r="A3" s="2" t="n">
        <v>46113</v>
      </c>
      <c r="B3" s="3" t="n">
        <v>162</v>
      </c>
      <c r="C3" s="4">
        <f>B3-B2</f>
        <v/>
      </c>
      <c r="D3" s="3" t="n">
        <v>342</v>
      </c>
      <c r="E3" s="4">
        <f>D3-D2</f>
        <v/>
      </c>
      <c r="F3" s="3" t="n">
        <v>88</v>
      </c>
      <c r="G3" s="4">
        <f>F3-F2</f>
        <v/>
      </c>
      <c r="H3" s="3" t="n">
        <v>1509</v>
      </c>
      <c r="I3" s="4">
        <f>H3-H2</f>
        <v/>
      </c>
      <c r="J3" s="3">
        <f>B3+D3+F3+H3</f>
        <v/>
      </c>
      <c r="K3" s="4">
        <f>J3-J2</f>
        <v/>
      </c>
    </row>
    <row r="4">
      <c r="A4" s="2" t="n">
        <v>46120</v>
      </c>
      <c r="B4" s="3" t="n">
        <v>177</v>
      </c>
      <c r="C4" s="4">
        <f>B4-B3</f>
        <v/>
      </c>
      <c r="D4" s="3" t="n">
        <v>360</v>
      </c>
      <c r="E4" s="4">
        <f>D4-D3</f>
        <v/>
      </c>
      <c r="F4" s="3" t="n">
        <v>98</v>
      </c>
      <c r="G4" s="4">
        <f>F4-F3</f>
        <v/>
      </c>
      <c r="H4" s="3" t="n">
        <v>1529</v>
      </c>
      <c r="I4" s="4">
        <f>H4-H3</f>
        <v/>
      </c>
      <c r="J4" s="3">
        <f>B4+D4+F4+H4</f>
        <v/>
      </c>
      <c r="K4" s="4">
        <f>J4-J3</f>
        <v/>
      </c>
    </row>
    <row r="5">
      <c r="A5" s="2" t="n">
        <v>46127</v>
      </c>
      <c r="B5" s="3" t="n">
        <v>187</v>
      </c>
      <c r="C5" s="4">
        <f>B5-B4</f>
        <v/>
      </c>
      <c r="D5" s="3" t="n">
        <v>385</v>
      </c>
      <c r="E5" s="4">
        <f>D5-D4</f>
        <v/>
      </c>
      <c r="F5" s="3" t="n">
        <v>104</v>
      </c>
      <c r="G5" s="4">
        <f>F5-F4</f>
        <v/>
      </c>
      <c r="H5" s="3" t="n">
        <v>1541</v>
      </c>
      <c r="I5" s="4">
        <f>H5-H4</f>
        <v/>
      </c>
      <c r="J5" s="3">
        <f>B5+D5+F5+H5</f>
        <v/>
      </c>
      <c r="K5" s="4">
        <f>J5-J4</f>
        <v/>
      </c>
    </row>
    <row r="6">
      <c r="A6" s="2" t="n">
        <v>46134</v>
      </c>
      <c r="B6" s="3" t="n">
        <v>205</v>
      </c>
      <c r="C6" s="4">
        <f>B6-B5</f>
        <v/>
      </c>
      <c r="D6" s="3" t="n">
        <v>405</v>
      </c>
      <c r="E6" s="4">
        <f>D6-D5</f>
        <v/>
      </c>
      <c r="F6" s="3" t="n">
        <v>116</v>
      </c>
      <c r="G6" s="4">
        <f>F6-F5</f>
        <v/>
      </c>
      <c r="H6" s="3" t="n">
        <v>1559</v>
      </c>
      <c r="I6" s="4">
        <f>H6-H5</f>
        <v/>
      </c>
      <c r="J6" s="3">
        <f>B6+D6+F6+H6</f>
        <v/>
      </c>
      <c r="K6" s="4">
        <f>J6-J5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0" customWidth="1" min="4" max="4"/>
    <col width="30" customWidth="1" min="5" max="5"/>
    <col width="20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>
      <c r="A1" s="5" t="inlineStr">
        <is>
          <t>日付</t>
        </is>
      </c>
      <c r="B1" s="5" t="inlineStr">
        <is>
          <t>曜日</t>
        </is>
      </c>
      <c r="C1" s="5" t="inlineStr">
        <is>
          <t>X投稿内容（予定）</t>
        </is>
      </c>
      <c r="D1" s="5" t="inlineStr">
        <is>
          <t>X投稿タイプ</t>
        </is>
      </c>
      <c r="E1" s="5" t="inlineStr">
        <is>
          <t>Instagram投稿内容（予定）</t>
        </is>
      </c>
      <c r="F1" s="5" t="inlineStr">
        <is>
          <t>Instagramタイプ</t>
        </is>
      </c>
      <c r="G1" s="5" t="inlineStr">
        <is>
          <t>Threads投稿内容（予定）</t>
        </is>
      </c>
      <c r="H1" s="5" t="inlineStr">
        <is>
          <t>note記事タイトル（予定）</t>
        </is>
      </c>
      <c r="I1" s="5" t="inlineStr">
        <is>
          <t>投稿済みチェック（✓）</t>
        </is>
      </c>
      <c r="J1" s="5" t="inlineStr">
        <is>
          <t>メモ</t>
        </is>
      </c>
    </row>
    <row r="2">
      <c r="A2" s="2" t="n">
        <v>46106</v>
      </c>
      <c r="B2" s="6" t="inlineStr">
        <is>
          <t>水</t>
        </is>
      </c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2" t="n">
        <v>46107</v>
      </c>
      <c r="B3" s="6" t="inlineStr">
        <is>
          <t>木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2" t="n">
        <v>46108</v>
      </c>
      <c r="B4" s="6" t="inlineStr">
        <is>
          <t>金</t>
        </is>
      </c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2" t="n">
        <v>46109</v>
      </c>
      <c r="B5" s="6" t="inlineStr">
        <is>
          <t>土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2" t="n">
        <v>46110</v>
      </c>
      <c r="B6" s="6" t="inlineStr">
        <is>
          <t>日</t>
        </is>
      </c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2" t="n">
        <v>46111</v>
      </c>
      <c r="B7" s="6" t="inlineStr">
        <is>
          <t>月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2" t="n">
        <v>46112</v>
      </c>
      <c r="B8" s="6" t="inlineStr">
        <is>
          <t>火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2" t="n">
        <v>46113</v>
      </c>
      <c r="B9" s="6" t="inlineStr">
        <is>
          <t>水</t>
        </is>
      </c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2" t="n">
        <v>46114</v>
      </c>
      <c r="B10" s="6" t="inlineStr">
        <is>
          <t>木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2" t="n">
        <v>46115</v>
      </c>
      <c r="B11" s="6" t="inlineStr">
        <is>
          <t>金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2" t="n">
        <v>46116</v>
      </c>
      <c r="B12" s="6" t="inlineStr">
        <is>
          <t>土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2" t="n">
        <v>46117</v>
      </c>
      <c r="B13" s="6" t="inlineStr">
        <is>
          <t>日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2" t="n">
        <v>46118</v>
      </c>
      <c r="B14" s="6" t="inlineStr">
        <is>
          <t>月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2" t="n">
        <v>46119</v>
      </c>
      <c r="B15" s="6" t="inlineStr">
        <is>
          <t>火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2" t="n">
        <v>46120</v>
      </c>
      <c r="B16" s="6" t="inlineStr">
        <is>
          <t>水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2" t="n">
        <v>46121</v>
      </c>
      <c r="B17" s="6" t="inlineStr">
        <is>
          <t>木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2" t="n">
        <v>46122</v>
      </c>
      <c r="B18" s="6" t="inlineStr">
        <is>
          <t>金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2" t="n">
        <v>46123</v>
      </c>
      <c r="B19" s="6" t="inlineStr">
        <is>
          <t>土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2" t="n">
        <v>46124</v>
      </c>
      <c r="B20" s="6" t="inlineStr">
        <is>
          <t>日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2" t="n">
        <v>46125</v>
      </c>
      <c r="B21" s="6" t="inlineStr">
        <is>
          <t>月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2" t="n">
        <v>46126</v>
      </c>
      <c r="B22" s="6" t="inlineStr">
        <is>
          <t>火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2" t="n">
        <v>46127</v>
      </c>
      <c r="B23" s="6" t="inlineStr">
        <is>
          <t>水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2" t="n">
        <v>46128</v>
      </c>
      <c r="B24" s="6" t="inlineStr">
        <is>
          <t>木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2" t="n">
        <v>46129</v>
      </c>
      <c r="B25" s="6" t="inlineStr">
        <is>
          <t>金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2" t="n">
        <v>46130</v>
      </c>
      <c r="B26" s="6" t="inlineStr">
        <is>
          <t>土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2" t="n">
        <v>46131</v>
      </c>
      <c r="B27" s="6" t="inlineStr">
        <is>
          <t>日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2" t="n">
        <v>46132</v>
      </c>
      <c r="B28" s="6" t="inlineStr">
        <is>
          <t>月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2" t="n">
        <v>46133</v>
      </c>
      <c r="B29" s="6" t="inlineStr">
        <is>
          <t>火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45" customWidth="1" min="4" max="4"/>
    <col width="2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No.</t>
        </is>
      </c>
      <c r="B1" s="8" t="inlineStr">
        <is>
          <t>カテゴリ</t>
        </is>
      </c>
      <c r="C1" s="8" t="inlineStr">
        <is>
          <t>タイトル・テーマ</t>
        </is>
      </c>
      <c r="D1" s="8" t="inlineStr">
        <is>
          <t>内容メモ</t>
        </is>
      </c>
      <c r="E1" s="8" t="inlineStr">
        <is>
          <t>適したSNS</t>
        </is>
      </c>
      <c r="F1" s="8" t="inlineStr">
        <is>
          <t>優先度</t>
        </is>
      </c>
      <c r="G1" s="8" t="inlineStr">
        <is>
          <t>ステータス</t>
        </is>
      </c>
      <c r="H1" s="8" t="inlineStr">
        <is>
          <t>使用日</t>
        </is>
      </c>
    </row>
    <row r="2">
      <c r="A2" s="6" t="n">
        <v>1</v>
      </c>
      <c r="B2" s="7" t="inlineStr">
        <is>
          <t>バツ2</t>
        </is>
      </c>
      <c r="C2" s="7" t="inlineStr">
        <is>
          <t>バツ2からわかった「結婚に向かない人」の特徴</t>
        </is>
      </c>
      <c r="D2" s="7" t="inlineStr">
        <is>
          <t>自分の失敗談を元に、結婚に向いていないタイプを分析。共感狙い。</t>
        </is>
      </c>
      <c r="E2" s="7" t="inlineStr">
        <is>
          <t>X/Threads</t>
        </is>
      </c>
      <c r="F2" s="6" t="inlineStr">
        <is>
          <t>高</t>
        </is>
      </c>
      <c r="G2" s="6" t="inlineStr">
        <is>
          <t>未使用</t>
        </is>
      </c>
      <c r="H2" s="7" t="inlineStr"/>
    </row>
    <row r="3">
      <c r="A3" s="6" t="n">
        <v>2</v>
      </c>
      <c r="B3" s="7" t="inlineStr">
        <is>
          <t>バツ2</t>
        </is>
      </c>
      <c r="C3" s="7" t="inlineStr">
        <is>
          <t>離婚経験者が語る「やり直せるなら変えること3つ」</t>
        </is>
      </c>
      <c r="D3" s="7" t="inlineStr">
        <is>
          <t>後悔していることと今の考え方の変化。エピソード形式。</t>
        </is>
      </c>
      <c r="E3" s="7" t="inlineStr">
        <is>
          <t>note/X</t>
        </is>
      </c>
      <c r="F3" s="6" t="inlineStr">
        <is>
          <t>高</t>
        </is>
      </c>
      <c r="G3" s="6" t="inlineStr">
        <is>
          <t>未使用</t>
        </is>
      </c>
      <c r="H3" s="7" t="inlineStr"/>
    </row>
    <row r="4">
      <c r="A4" s="6" t="n">
        <v>3</v>
      </c>
      <c r="B4" s="7" t="inlineStr">
        <is>
          <t>世界一周</t>
        </is>
      </c>
      <c r="C4" s="7" t="inlineStr">
        <is>
          <t>チリで出会った人生を変えた一言</t>
        </is>
      </c>
      <c r="D4" s="7" t="inlineStr">
        <is>
          <t>旅先での出会いと気づき。感動系エピソード。</t>
        </is>
      </c>
      <c r="E4" s="7" t="inlineStr">
        <is>
          <t>X/Instagram/note</t>
        </is>
      </c>
      <c r="F4" s="6" t="inlineStr">
        <is>
          <t>高</t>
        </is>
      </c>
      <c r="G4" s="6" t="inlineStr">
        <is>
          <t>未使用</t>
        </is>
      </c>
      <c r="H4" s="7" t="inlineStr"/>
    </row>
    <row r="5">
      <c r="A5" s="6" t="n">
        <v>4</v>
      </c>
      <c r="B5" s="7" t="inlineStr">
        <is>
          <t>世界一周</t>
        </is>
      </c>
      <c r="C5" s="7" t="inlineStr">
        <is>
          <t>世界一周してわかった「日本人が損してること」</t>
        </is>
      </c>
      <c r="D5" s="7" t="inlineStr">
        <is>
          <t>海外と日本の文化・思考の違いを比較。逆張り系。</t>
        </is>
      </c>
      <c r="E5" s="7" t="inlineStr">
        <is>
          <t>X/Threads</t>
        </is>
      </c>
      <c r="F5" s="6" t="inlineStr">
        <is>
          <t>高</t>
        </is>
      </c>
      <c r="G5" s="6" t="inlineStr">
        <is>
          <t>未使用</t>
        </is>
      </c>
      <c r="H5" s="7" t="inlineStr"/>
    </row>
    <row r="6">
      <c r="A6" s="6" t="n">
        <v>5</v>
      </c>
      <c r="B6" s="7" t="inlineStr">
        <is>
          <t>世界一周</t>
        </is>
      </c>
      <c r="C6" s="7" t="inlineStr">
        <is>
          <t>一人旅で孤独と戦った夜の話</t>
        </is>
      </c>
      <c r="D6" s="7" t="inlineStr">
        <is>
          <t>旅の孤独感とそれを乗り越えた体験。リアルなエピソード。</t>
        </is>
      </c>
      <c r="E6" s="7" t="inlineStr">
        <is>
          <t>Instagram/note</t>
        </is>
      </c>
      <c r="F6" s="6" t="inlineStr">
        <is>
          <t>中</t>
        </is>
      </c>
      <c r="G6" s="6" t="inlineStr">
        <is>
          <t>未使用</t>
        </is>
      </c>
      <c r="H6" s="7" t="inlineStr"/>
    </row>
    <row r="7">
      <c r="A7" s="6" t="n">
        <v>6</v>
      </c>
      <c r="B7" s="7" t="inlineStr">
        <is>
          <t>起業</t>
        </is>
      </c>
      <c r="C7" s="7" t="inlineStr">
        <is>
          <t>ゼロから起業した最初の3ヶ月で犯した失敗</t>
        </is>
      </c>
      <c r="D7" s="7" t="inlineStr">
        <is>
          <t>初期の失敗談と学び。知識系+エピソード系。</t>
        </is>
      </c>
      <c r="E7" s="7" t="inlineStr">
        <is>
          <t>note/X</t>
        </is>
      </c>
      <c r="F7" s="6" t="inlineStr">
        <is>
          <t>高</t>
        </is>
      </c>
      <c r="G7" s="6" t="inlineStr">
        <is>
          <t>未使用</t>
        </is>
      </c>
      <c r="H7" s="7" t="inlineStr"/>
    </row>
    <row r="8">
      <c r="A8" s="6" t="n">
        <v>7</v>
      </c>
      <c r="B8" s="7" t="inlineStr">
        <is>
          <t>FIRE</t>
        </is>
      </c>
      <c r="C8" s="7" t="inlineStr">
        <is>
          <t>FIREを目指して気づいた「お金より大事なもの」</t>
        </is>
      </c>
      <c r="D8" s="7" t="inlineStr">
        <is>
          <t>FIRE達成に向かう中での価値観の変化。人生論系。</t>
        </is>
      </c>
      <c r="E8" s="7" t="inlineStr">
        <is>
          <t>X/Threads/note</t>
        </is>
      </c>
      <c r="F8" s="6" t="inlineStr">
        <is>
          <t>高</t>
        </is>
      </c>
      <c r="G8" s="6" t="inlineStr">
        <is>
          <t>未使用</t>
        </is>
      </c>
      <c r="H8" s="7" t="inlineStr"/>
    </row>
    <row r="9">
      <c r="A9" s="6" t="n">
        <v>8</v>
      </c>
      <c r="B9" s="7" t="inlineStr">
        <is>
          <t>FIRE</t>
        </is>
      </c>
      <c r="C9" s="7" t="inlineStr">
        <is>
          <t>サラリーマンを辞めたら収入が3倍になった話</t>
        </is>
      </c>
      <c r="D9" s="7" t="inlineStr">
        <is>
          <t>起業・副業でのリアルな収入変化。逆張り+本音系。</t>
        </is>
      </c>
      <c r="E9" s="7" t="inlineStr">
        <is>
          <t>X</t>
        </is>
      </c>
      <c r="F9" s="6" t="inlineStr">
        <is>
          <t>高</t>
        </is>
      </c>
      <c r="G9" s="6" t="inlineStr">
        <is>
          <t>未使用</t>
        </is>
      </c>
      <c r="H9" s="7" t="inlineStr"/>
    </row>
    <row r="10">
      <c r="A10" s="6" t="n">
        <v>9</v>
      </c>
      <c r="B10" s="7" t="inlineStr">
        <is>
          <t>カナエル</t>
        </is>
      </c>
      <c r="C10" s="7" t="inlineStr">
        <is>
          <t>「人生を変えたい」と思ったときに最初にすべきこと</t>
        </is>
      </c>
      <c r="D10" s="7" t="inlineStr">
        <is>
          <t>カナエルの価値観をベースにした行動論。</t>
        </is>
      </c>
      <c r="E10" s="7" t="inlineStr">
        <is>
          <t>X/Threads/note</t>
        </is>
      </c>
      <c r="F10" s="6" t="inlineStr">
        <is>
          <t>高</t>
        </is>
      </c>
      <c r="G10" s="6" t="inlineStr">
        <is>
          <t>未使用</t>
        </is>
      </c>
      <c r="H10" s="7" t="inlineStr"/>
    </row>
    <row r="11">
      <c r="A11" s="6" t="n">
        <v>10</v>
      </c>
      <c r="B11" s="7" t="inlineStr">
        <is>
          <t>SNS</t>
        </is>
      </c>
      <c r="C11" s="7" t="inlineStr">
        <is>
          <t>フォロワー0から始めた私がやって良かったこと悪かったこと</t>
        </is>
      </c>
      <c r="D11" s="7" t="inlineStr">
        <is>
          <t>SNS運用の試行錯誤。知識+本音系。</t>
        </is>
      </c>
      <c r="E11" s="7" t="inlineStr">
        <is>
          <t>X/Threads</t>
        </is>
      </c>
      <c r="F11" s="6" t="inlineStr">
        <is>
          <t>中</t>
        </is>
      </c>
      <c r="G11" s="6" t="inlineStr">
        <is>
          <t>未使用</t>
        </is>
      </c>
      <c r="H11" s="7" t="inlineStr"/>
    </row>
    <row r="12">
      <c r="A12" s="6" t="n">
        <v>11</v>
      </c>
      <c r="B12" s="7" t="inlineStr">
        <is>
          <t>人生論</t>
        </is>
      </c>
      <c r="C12" s="7" t="inlineStr">
        <is>
          <t>40代で人生をリセットして気づいた「当たり前の嘘」</t>
        </is>
      </c>
      <c r="D12" s="7" t="inlineStr">
        <is>
          <t>社会の常識への疑問と自分なりの答え。逆張り系。</t>
        </is>
      </c>
      <c r="E12" s="7" t="inlineStr">
        <is>
          <t>X/Threads/note</t>
        </is>
      </c>
      <c r="F12" s="6" t="inlineStr">
        <is>
          <t>中</t>
        </is>
      </c>
      <c r="G12" s="6" t="inlineStr">
        <is>
          <t>未使用</t>
        </is>
      </c>
      <c r="H12" s="7" t="inlineStr"/>
    </row>
    <row r="13">
      <c r="A13" s="6" t="n">
        <v>12</v>
      </c>
      <c r="B13" s="7" t="inlineStr">
        <is>
          <t>バツ2</t>
        </is>
      </c>
      <c r="C13" s="7" t="inlineStr">
        <is>
          <t>再婚を選ばなかった理由と今の幸せの形</t>
        </is>
      </c>
      <c r="D13" s="7" t="inlineStr">
        <is>
          <t>個人的な選択と価値観。共感・本音系。</t>
        </is>
      </c>
      <c r="E13" s="7" t="inlineStr">
        <is>
          <t>note/Instagram</t>
        </is>
      </c>
      <c r="F13" s="6" t="inlineStr">
        <is>
          <t>中</t>
        </is>
      </c>
      <c r="G13" s="6" t="inlineStr">
        <is>
          <t>未使用</t>
        </is>
      </c>
      <c r="H1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15" customWidth="1" min="4" max="4"/>
    <col width="18" customWidth="1" min="5" max="5"/>
    <col width="15" customWidth="1" min="6" max="6"/>
    <col width="20" customWidth="1" min="7" max="7"/>
    <col width="18" customWidth="1" min="8" max="8"/>
    <col width="15" customWidth="1" min="9" max="9"/>
    <col width="15" customWidth="1" min="10" max="10"/>
    <col width="35" customWidth="1" min="11" max="11"/>
  </cols>
  <sheetData>
    <row r="1">
      <c r="A1" s="9" t="inlineStr">
        <is>
          <t>日付</t>
        </is>
      </c>
      <c r="B1" s="9" t="inlineStr">
        <is>
          <t>SNS</t>
        </is>
      </c>
      <c r="C1" s="9" t="inlineStr">
        <is>
          <t>投稿内容（冒頭）</t>
        </is>
      </c>
      <c r="D1" s="9" t="inlineStr">
        <is>
          <t>いいね数</t>
        </is>
      </c>
      <c r="E1" s="9" t="inlineStr">
        <is>
          <t>リポスト/シェア数</t>
        </is>
      </c>
      <c r="F1" s="9" t="inlineStr">
        <is>
          <t>コメント数</t>
        </is>
      </c>
      <c r="G1" s="9" t="inlineStr">
        <is>
          <t>インプレッション数</t>
        </is>
      </c>
      <c r="H1" s="9" t="inlineStr">
        <is>
          <t>エンゲージメント率</t>
        </is>
      </c>
      <c r="I1" s="9" t="inlineStr">
        <is>
          <t>フォロワー増減</t>
        </is>
      </c>
      <c r="J1" s="9" t="inlineStr">
        <is>
          <t>バズったか</t>
        </is>
      </c>
      <c r="K1" s="9" t="inlineStr">
        <is>
          <t>学び・メモ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1">
        <f>IFERROR((D2+E2+F2)/G2,"")</f>
        <v/>
      </c>
      <c r="I2" s="10" t="n"/>
      <c r="J2" s="10" t="n"/>
      <c r="K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1">
        <f>IFERROR((D3+E3+F3)/G3,"")</f>
        <v/>
      </c>
      <c r="I3" s="10" t="n"/>
      <c r="J3" s="10" t="n"/>
      <c r="K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1">
        <f>IFERROR((D4+E4+F4)/G4,"")</f>
        <v/>
      </c>
      <c r="I4" s="10" t="n"/>
      <c r="J4" s="10" t="n"/>
      <c r="K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1">
        <f>IFERROR((D5+E5+F5)/G5,"")</f>
        <v/>
      </c>
      <c r="I5" s="10" t="n"/>
      <c r="J5" s="10" t="n"/>
      <c r="K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1">
        <f>IFERROR((D6+E6+F6)/G6,"")</f>
        <v/>
      </c>
      <c r="I6" s="10" t="n"/>
      <c r="J6" s="10" t="n"/>
      <c r="K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1">
        <f>IFERROR((D7+E7+F7)/G7,"")</f>
        <v/>
      </c>
      <c r="I7" s="10" t="n"/>
      <c r="J7" s="10" t="n"/>
      <c r="K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1">
        <f>IFERROR((D8+E8+F8)/G8,"")</f>
        <v/>
      </c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1">
        <f>IFERROR((D9+E9+F9)/G9,"")</f>
        <v/>
      </c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1">
        <f>IFERROR((D10+E10+F10)/G10,"")</f>
        <v/>
      </c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1">
        <f>IFERROR((D11+E11+F11)/G11,"")</f>
        <v/>
      </c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1">
        <f>IFERROR((D12+E12+F12)/G12,"")</f>
        <v/>
      </c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1">
        <f>IFERROR((D13+E13+F13)/G13,"")</f>
        <v/>
      </c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1">
        <f>IFERROR((D14+E14+F14)/G14,"")</f>
        <v/>
      </c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1">
        <f>IFERROR((D15+E15+F15)/G15,"")</f>
        <v/>
      </c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1">
        <f>IFERROR((D16+E16+F16)/G16,"")</f>
        <v/>
      </c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1">
        <f>IFERROR((D17+E17+F17)/G17,"")</f>
        <v/>
      </c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1">
        <f>IFERROR((D18+E18+F18)/G18,"")</f>
        <v/>
      </c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1">
        <f>IFERROR((D19+E19+F19)/G19,"")</f>
        <v/>
      </c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1">
        <f>IFERROR((D20+E20+F20)/G20,"")</f>
        <v/>
      </c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1">
        <f>IFERROR((D21+E21+F21)/G21,"")</f>
        <v/>
      </c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1">
        <f>IFERROR((D22+E22+F22)/G22,"")</f>
        <v/>
      </c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1">
        <f>IFERROR((D23+E23+F23)/G23,"")</f>
        <v/>
      </c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1">
        <f>IFERROR((D24+E24+F24)/G24,"")</f>
        <v/>
      </c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1">
        <f>IFERROR((D25+E25+F25)/G25,"")</f>
        <v/>
      </c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1">
        <f>IFERROR((D26+E26+F26)/G26,"")</f>
        <v/>
      </c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1">
        <f>IFERROR((D27+E27+F27)/G27,"")</f>
        <v/>
      </c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1">
        <f>IFERROR((D28+E28+F28)/G28,"")</f>
        <v/>
      </c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1">
        <f>IFERROR((D29+E29+F29)/G29,"")</f>
        <v/>
      </c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1">
        <f>IFERROR((D30+E30+F30)/G30,"")</f>
        <v/>
      </c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1">
        <f>IFERROR((D31+E31+F31)/G31,"")</f>
        <v/>
      </c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1">
        <f>IFERROR((D32+E32+F32)/G32,"")</f>
        <v/>
      </c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1">
        <f>IFERROR((D33+E33+F33)/G33,"")</f>
        <v/>
      </c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1">
        <f>IFERROR((D34+E34+F34)/G34,"")</f>
        <v/>
      </c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1">
        <f>IFERROR((D35+E35+F35)/G35,"")</f>
        <v/>
      </c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1">
        <f>IFERROR((D36+E36+F36)/G36,"")</f>
        <v/>
      </c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1">
        <f>IFERROR((D37+E37+F37)/G37,"")</f>
        <v/>
      </c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1">
        <f>IFERROR((D38+E38+F38)/G38,"")</f>
        <v/>
      </c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1">
        <f>IFERROR((D39+E39+F39)/G39,"")</f>
        <v/>
      </c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1">
        <f>IFERROR((D40+E40+F40)/G40,"")</f>
        <v/>
      </c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1">
        <f>IFERROR((D41+E41+F41)/G41,"")</f>
        <v/>
      </c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1">
        <f>IFERROR((D42+E42+F42)/G42,"")</f>
        <v/>
      </c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1">
        <f>IFERROR((D43+E43+F43)/G43,"")</f>
        <v/>
      </c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1">
        <f>IFERROR((D44+E44+F44)/G44,"")</f>
        <v/>
      </c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1">
        <f>IFERROR((D45+E45+F45)/G45,"")</f>
        <v/>
      </c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1">
        <f>IFERROR((D46+E46+F46)/G46,"")</f>
        <v/>
      </c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1">
        <f>IFERROR((D47+E47+F47)/G47,"")</f>
        <v/>
      </c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1">
        <f>IFERROR((D48+E48+F48)/G48,"")</f>
        <v/>
      </c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1">
        <f>IFERROR((D49+E49+F49)/G49,"")</f>
        <v/>
      </c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1">
        <f>IFERROR((D50+E50+F50)/G50,"")</f>
        <v/>
      </c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1">
        <f>IFERROR((D51+E51+F51)/G51,"")</f>
        <v/>
      </c>
      <c r="I51" s="10" t="n"/>
      <c r="J51" s="10" t="n"/>
      <c r="K51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22" customWidth="1" min="7" max="7"/>
    <col width="22" customWidth="1" min="8" max="8"/>
    <col width="18" customWidth="1" min="9" max="9"/>
    <col width="22" customWidth="1" min="10" max="10"/>
    <col width="20" customWidth="1" min="11" max="11"/>
    <col width="15" customWidth="1" min="12" max="12"/>
    <col width="16" customWidth="1" min="13" max="13"/>
    <col width="15" customWidth="1" min="14" max="14"/>
    <col width="15" customWidth="1" min="15" max="15"/>
    <col width="16" customWidth="1" min="16" max="16"/>
    <col width="25" customWidth="1" min="17" max="17"/>
  </cols>
  <sheetData>
    <row r="1">
      <c r="A1" s="12" t="inlineStr">
        <is>
          <t>月</t>
        </is>
      </c>
      <c r="B1" s="12" t="inlineStr">
        <is>
          <t>Xフォロワー目標</t>
        </is>
      </c>
      <c r="C1" s="12" t="inlineStr">
        <is>
          <t>X実績</t>
        </is>
      </c>
      <c r="D1" s="12" t="inlineStr">
        <is>
          <t>X達成率</t>
        </is>
      </c>
      <c r="E1" s="12" t="inlineStr">
        <is>
          <t>Instagramフォロワー目標</t>
        </is>
      </c>
      <c r="F1" s="12" t="inlineStr">
        <is>
          <t>Instagram実績</t>
        </is>
      </c>
      <c r="G1" s="12" t="inlineStr">
        <is>
          <t>Instagram達成率</t>
        </is>
      </c>
      <c r="H1" s="12" t="inlineStr">
        <is>
          <t>Threadsフォロワー目標</t>
        </is>
      </c>
      <c r="I1" s="12" t="inlineStr">
        <is>
          <t>Threads実績</t>
        </is>
      </c>
      <c r="J1" s="12" t="inlineStr">
        <is>
          <t>Threads達成率</t>
        </is>
      </c>
      <c r="K1" s="12" t="inlineStr">
        <is>
          <t>noteフォロワー目標</t>
        </is>
      </c>
      <c r="L1" s="12" t="inlineStr">
        <is>
          <t>note実績</t>
        </is>
      </c>
      <c r="M1" s="12" t="inlineStr">
        <is>
          <t>note達成率</t>
        </is>
      </c>
      <c r="N1" s="12" t="inlineStr">
        <is>
          <t>合計目標</t>
        </is>
      </c>
      <c r="O1" s="12" t="inlineStr">
        <is>
          <t>合計実績</t>
        </is>
      </c>
      <c r="P1" s="12" t="inlineStr">
        <is>
          <t>合計達成率</t>
        </is>
      </c>
      <c r="Q1" s="12" t="inlineStr">
        <is>
          <t>月次コメント</t>
        </is>
      </c>
    </row>
    <row r="2">
      <c r="A2" s="6" t="inlineStr">
        <is>
          <t>2026年4月</t>
        </is>
      </c>
      <c r="B2" s="3" t="n">
        <v>250</v>
      </c>
      <c r="C2" s="3" t="n"/>
      <c r="D2" s="13">
        <f>IFERROR(C2/B2,"")</f>
        <v/>
      </c>
      <c r="E2" s="3" t="n">
        <v>470</v>
      </c>
      <c r="F2" s="3" t="n"/>
      <c r="G2" s="13">
        <f>IFERROR(F2/E2,"")</f>
        <v/>
      </c>
      <c r="H2" s="3" t="n">
        <v>160</v>
      </c>
      <c r="I2" s="3" t="n"/>
      <c r="J2" s="13">
        <f>IFERROR(I2/H2,"")</f>
        <v/>
      </c>
      <c r="K2" s="3" t="n">
        <v>1594</v>
      </c>
      <c r="L2" s="3" t="n"/>
      <c r="M2" s="13">
        <f>IFERROR(L2/K2,"")</f>
        <v/>
      </c>
      <c r="N2" s="3">
        <f>B2+E2+H2+K2</f>
        <v/>
      </c>
      <c r="O2" s="3">
        <f>IFERROR(C2+F2+I2+L2,"")</f>
        <v/>
      </c>
      <c r="P2" s="13">
        <f>IFERROR(O2/N2,"")</f>
        <v/>
      </c>
      <c r="Q2" s="7" t="n"/>
    </row>
    <row r="3">
      <c r="A3" s="6" t="inlineStr">
        <is>
          <t>2026年5月</t>
        </is>
      </c>
      <c r="B3" s="3" t="n">
        <v>350</v>
      </c>
      <c r="C3" s="3" t="n"/>
      <c r="D3" s="13">
        <f>IFERROR(C3/B3,"")</f>
        <v/>
      </c>
      <c r="E3" s="3" t="n">
        <v>620</v>
      </c>
      <c r="F3" s="3" t="n"/>
      <c r="G3" s="13">
        <f>IFERROR(F3/E3,"")</f>
        <v/>
      </c>
      <c r="H3" s="3" t="n">
        <v>240</v>
      </c>
      <c r="I3" s="3" t="n"/>
      <c r="J3" s="13">
        <f>IFERROR(I3/H3,"")</f>
        <v/>
      </c>
      <c r="K3" s="3" t="n">
        <v>1694</v>
      </c>
      <c r="L3" s="3" t="n"/>
      <c r="M3" s="13">
        <f>IFERROR(L3/K3,"")</f>
        <v/>
      </c>
      <c r="N3" s="3">
        <f>B3+E3+H3+K3</f>
        <v/>
      </c>
      <c r="O3" s="3">
        <f>IFERROR(C3+F3+I3+L3,"")</f>
        <v/>
      </c>
      <c r="P3" s="13">
        <f>IFERROR(O3/N3,"")</f>
        <v/>
      </c>
      <c r="Q3" s="7" t="n"/>
    </row>
    <row r="4">
      <c r="A4" s="6" t="inlineStr">
        <is>
          <t>2026年6月</t>
        </is>
      </c>
      <c r="B4" s="3" t="n">
        <v>450</v>
      </c>
      <c r="C4" s="3" t="n"/>
      <c r="D4" s="13">
        <f>IFERROR(C4/B4,"")</f>
        <v/>
      </c>
      <c r="E4" s="3" t="n">
        <v>770</v>
      </c>
      <c r="F4" s="3" t="n"/>
      <c r="G4" s="13">
        <f>IFERROR(F4/E4,"")</f>
        <v/>
      </c>
      <c r="H4" s="3" t="n">
        <v>320</v>
      </c>
      <c r="I4" s="3" t="n"/>
      <c r="J4" s="13">
        <f>IFERROR(I4/H4,"")</f>
        <v/>
      </c>
      <c r="K4" s="3" t="n">
        <v>1794</v>
      </c>
      <c r="L4" s="3" t="n"/>
      <c r="M4" s="13">
        <f>IFERROR(L4/K4,"")</f>
        <v/>
      </c>
      <c r="N4" s="3">
        <f>B4+E4+H4+K4</f>
        <v/>
      </c>
      <c r="O4" s="3">
        <f>IFERROR(C4+F4+I4+L4,"")</f>
        <v/>
      </c>
      <c r="P4" s="13">
        <f>IFERROR(O4/N4,"")</f>
        <v/>
      </c>
      <c r="Q4" s="7" t="n"/>
    </row>
    <row r="5">
      <c r="A5" s="6" t="inlineStr">
        <is>
          <t>2026年7月</t>
        </is>
      </c>
      <c r="B5" s="3" t="n">
        <v>550</v>
      </c>
      <c r="C5" s="3" t="n"/>
      <c r="D5" s="13">
        <f>IFERROR(C5/B5,"")</f>
        <v/>
      </c>
      <c r="E5" s="3" t="n">
        <v>920</v>
      </c>
      <c r="F5" s="3" t="n"/>
      <c r="G5" s="13">
        <f>IFERROR(F5/E5,"")</f>
        <v/>
      </c>
      <c r="H5" s="3" t="n">
        <v>400</v>
      </c>
      <c r="I5" s="3" t="n"/>
      <c r="J5" s="13">
        <f>IFERROR(I5/H5,"")</f>
        <v/>
      </c>
      <c r="K5" s="3" t="n">
        <v>1894</v>
      </c>
      <c r="L5" s="3" t="n"/>
      <c r="M5" s="13">
        <f>IFERROR(L5/K5,"")</f>
        <v/>
      </c>
      <c r="N5" s="3">
        <f>B5+E5+H5+K5</f>
        <v/>
      </c>
      <c r="O5" s="3">
        <f>IFERROR(C5+F5+I5+L5,"")</f>
        <v/>
      </c>
      <c r="P5" s="13">
        <f>IFERROR(O5/N5,"")</f>
        <v/>
      </c>
      <c r="Q5" s="7" t="n"/>
    </row>
    <row r="6">
      <c r="A6" s="6" t="inlineStr">
        <is>
          <t>2026年8月</t>
        </is>
      </c>
      <c r="B6" s="3" t="n">
        <v>650</v>
      </c>
      <c r="C6" s="3" t="n"/>
      <c r="D6" s="13">
        <f>IFERROR(C6/B6,"")</f>
        <v/>
      </c>
      <c r="E6" s="3" t="n">
        <v>1070</v>
      </c>
      <c r="F6" s="3" t="n"/>
      <c r="G6" s="13">
        <f>IFERROR(F6/E6,"")</f>
        <v/>
      </c>
      <c r="H6" s="3" t="n">
        <v>480</v>
      </c>
      <c r="I6" s="3" t="n"/>
      <c r="J6" s="13">
        <f>IFERROR(I6/H6,"")</f>
        <v/>
      </c>
      <c r="K6" s="3" t="n">
        <v>1994</v>
      </c>
      <c r="L6" s="3" t="n"/>
      <c r="M6" s="13">
        <f>IFERROR(L6/K6,"")</f>
        <v/>
      </c>
      <c r="N6" s="3">
        <f>B6+E6+H6+K6</f>
        <v/>
      </c>
      <c r="O6" s="3">
        <f>IFERROR(C6+F6+I6+L6,"")</f>
        <v/>
      </c>
      <c r="P6" s="13">
        <f>IFERROR(O6/N6,"")</f>
        <v/>
      </c>
      <c r="Q6" s="7" t="n"/>
    </row>
    <row r="7">
      <c r="A7" s="6" t="inlineStr">
        <is>
          <t>2026年9月</t>
        </is>
      </c>
      <c r="B7" s="3" t="n">
        <v>750</v>
      </c>
      <c r="C7" s="3" t="n"/>
      <c r="D7" s="13">
        <f>IFERROR(C7/B7,"")</f>
        <v/>
      </c>
      <c r="E7" s="3" t="n">
        <v>1220</v>
      </c>
      <c r="F7" s="3" t="n"/>
      <c r="G7" s="13">
        <f>IFERROR(F7/E7,"")</f>
        <v/>
      </c>
      <c r="H7" s="3" t="n">
        <v>560</v>
      </c>
      <c r="I7" s="3" t="n"/>
      <c r="J7" s="13">
        <f>IFERROR(I7/H7,"")</f>
        <v/>
      </c>
      <c r="K7" s="3" t="n">
        <v>2094</v>
      </c>
      <c r="L7" s="3" t="n"/>
      <c r="M7" s="13">
        <f>IFERROR(L7/K7,"")</f>
        <v/>
      </c>
      <c r="N7" s="3">
        <f>B7+E7+H7+K7</f>
        <v/>
      </c>
      <c r="O7" s="3">
        <f>IFERROR(C7+F7+I7+L7,"")</f>
        <v/>
      </c>
      <c r="P7" s="13">
        <f>IFERROR(O7/N7,"")</f>
        <v/>
      </c>
      <c r="Q7" s="7" t="n"/>
    </row>
    <row r="8">
      <c r="A8" s="6" t="inlineStr">
        <is>
          <t>2026年10月</t>
        </is>
      </c>
      <c r="B8" s="3" t="n">
        <v>850</v>
      </c>
      <c r="C8" s="3" t="n"/>
      <c r="D8" s="13">
        <f>IFERROR(C8/B8,"")</f>
        <v/>
      </c>
      <c r="E8" s="3" t="n">
        <v>1370</v>
      </c>
      <c r="F8" s="3" t="n"/>
      <c r="G8" s="13">
        <f>IFERROR(F8/E8,"")</f>
        <v/>
      </c>
      <c r="H8" s="3" t="n">
        <v>640</v>
      </c>
      <c r="I8" s="3" t="n"/>
      <c r="J8" s="13">
        <f>IFERROR(I8/H8,"")</f>
        <v/>
      </c>
      <c r="K8" s="3" t="n">
        <v>2194</v>
      </c>
      <c r="L8" s="3" t="n"/>
      <c r="M8" s="13">
        <f>IFERROR(L8/K8,"")</f>
        <v/>
      </c>
      <c r="N8" s="3">
        <f>B8+E8+H8+K8</f>
        <v/>
      </c>
      <c r="O8" s="3">
        <f>IFERROR(C8+F8+I8+L8,"")</f>
        <v/>
      </c>
      <c r="P8" s="13">
        <f>IFERROR(O8/N8,"")</f>
        <v/>
      </c>
      <c r="Q8" s="7" t="n"/>
    </row>
    <row r="9">
      <c r="A9" s="6" t="inlineStr">
        <is>
          <t>2026年11月</t>
        </is>
      </c>
      <c r="B9" s="3" t="n">
        <v>950</v>
      </c>
      <c r="C9" s="3" t="n"/>
      <c r="D9" s="13">
        <f>IFERROR(C9/B9,"")</f>
        <v/>
      </c>
      <c r="E9" s="3" t="n">
        <v>1520</v>
      </c>
      <c r="F9" s="3" t="n"/>
      <c r="G9" s="13">
        <f>IFERROR(F9/E9,"")</f>
        <v/>
      </c>
      <c r="H9" s="3" t="n">
        <v>720</v>
      </c>
      <c r="I9" s="3" t="n"/>
      <c r="J9" s="13">
        <f>IFERROR(I9/H9,"")</f>
        <v/>
      </c>
      <c r="K9" s="3" t="n">
        <v>2294</v>
      </c>
      <c r="L9" s="3" t="n"/>
      <c r="M9" s="13">
        <f>IFERROR(L9/K9,"")</f>
        <v/>
      </c>
      <c r="N9" s="3">
        <f>B9+E9+H9+K9</f>
        <v/>
      </c>
      <c r="O9" s="3">
        <f>IFERROR(C9+F9+I9+L9,"")</f>
        <v/>
      </c>
      <c r="P9" s="13">
        <f>IFERROR(O9/N9,"")</f>
        <v/>
      </c>
      <c r="Q9" s="7" t="n"/>
    </row>
    <row r="10">
      <c r="A10" s="6" t="inlineStr">
        <is>
          <t>2026年12月</t>
        </is>
      </c>
      <c r="B10" s="3" t="n">
        <v>1050</v>
      </c>
      <c r="C10" s="3" t="n"/>
      <c r="D10" s="13">
        <f>IFERROR(C10/B10,"")</f>
        <v/>
      </c>
      <c r="E10" s="3" t="n">
        <v>1670</v>
      </c>
      <c r="F10" s="3" t="n"/>
      <c r="G10" s="13">
        <f>IFERROR(F10/E10,"")</f>
        <v/>
      </c>
      <c r="H10" s="3" t="n">
        <v>800</v>
      </c>
      <c r="I10" s="3" t="n"/>
      <c r="J10" s="13">
        <f>IFERROR(I10/H10,"")</f>
        <v/>
      </c>
      <c r="K10" s="3" t="n">
        <v>2394</v>
      </c>
      <c r="L10" s="3" t="n"/>
      <c r="M10" s="13">
        <f>IFERROR(L10/K10,"")</f>
        <v/>
      </c>
      <c r="N10" s="3">
        <f>B10+E10+H10+K10</f>
        <v/>
      </c>
      <c r="O10" s="3">
        <f>IFERROR(C10+F10+I10+L10,"")</f>
        <v/>
      </c>
      <c r="P10" s="13">
        <f>IFERROR(O10/N10,"")</f>
        <v/>
      </c>
      <c r="Q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2026-03-26T07:55:23Z</dcterms:created>
  <dcterms:modified xmlns:dcterms="http://purl.org/dc/terms/" xmlns:xsi="http://www.w3.org/2001/XMLSchema-instance" xsi:type="dcterms:W3CDTF">2026-03-26T07:55:23Z</dcterms:modified>
</cp:coreProperties>
</file>